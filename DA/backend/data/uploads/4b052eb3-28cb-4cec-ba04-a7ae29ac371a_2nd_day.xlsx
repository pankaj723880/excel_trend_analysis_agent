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7d70d63c6aced23/Documents/3rd sem/Business Analytics/"/>
    </mc:Choice>
  </mc:AlternateContent>
  <xr:revisionPtr revIDLastSave="2" documentId="13_ncr:1_{670B1668-189A-4CA7-BAF2-40FDD6C6D0CA}" xr6:coauthVersionLast="47" xr6:coauthVersionMax="47" xr10:uidLastSave="{BFF5C68C-04E1-44E0-82CD-91C018BAEF39}"/>
  <bookViews>
    <workbookView xWindow="-120" yWindow="-120" windowWidth="24240" windowHeight="13020" firstSheet="6" activeTab="7" xr2:uid="{00000000-000D-0000-FFFF-FFFF00000000}"/>
  </bookViews>
  <sheets>
    <sheet name="Sheet3" sheetId="7" r:id="rId1"/>
    <sheet name="Sheet2" sheetId="8" r:id="rId2"/>
    <sheet name="Sheet4" sheetId="9" r:id="rId3"/>
    <sheet name="Sheet5" sheetId="10" r:id="rId4"/>
    <sheet name="Sheet6" sheetId="11" r:id="rId5"/>
    <sheet name="Sheet7" sheetId="12" r:id="rId6"/>
    <sheet name="Sheet1" sheetId="1" r:id="rId7"/>
    <sheet name="Sheet8" sheetId="13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<sst xmlns="http://schemas.openxmlformats.org/spreadsheetml/2006/main" count="117" uniqueCount="38">
  <si>
    <t>Make</t>
  </si>
  <si>
    <t>Model</t>
  </si>
  <si>
    <t>Color</t>
  </si>
  <si>
    <t>Mileage</t>
  </si>
  <si>
    <t>Price</t>
  </si>
  <si>
    <t>Cost</t>
  </si>
  <si>
    <t>Honda</t>
  </si>
  <si>
    <t>Accord</t>
  </si>
  <si>
    <t>Red</t>
  </si>
  <si>
    <t>Blue</t>
  </si>
  <si>
    <t>Green</t>
  </si>
  <si>
    <t>Pink</t>
  </si>
  <si>
    <t>Black</t>
  </si>
  <si>
    <t>Camery</t>
  </si>
  <si>
    <t>Altima</t>
  </si>
  <si>
    <t>F-151</t>
  </si>
  <si>
    <t>Nisaan</t>
  </si>
  <si>
    <t>Ford</t>
  </si>
  <si>
    <t>Toyota</t>
  </si>
  <si>
    <t>Yellow</t>
  </si>
  <si>
    <t>1,01,354</t>
  </si>
  <si>
    <t>1,09,202</t>
  </si>
  <si>
    <t>Row Labels</t>
  </si>
  <si>
    <t>Grand Total</t>
  </si>
  <si>
    <t>Column Labels</t>
  </si>
  <si>
    <t>Profit</t>
  </si>
  <si>
    <t>Sum of Profit</t>
  </si>
  <si>
    <t>(Multiple Items)</t>
  </si>
  <si>
    <t>Sum of Cost</t>
  </si>
  <si>
    <t>Count of Model</t>
  </si>
  <si>
    <t>Sum of Price</t>
  </si>
  <si>
    <t>(All)</t>
  </si>
  <si>
    <t>Average of Mileage</t>
  </si>
  <si>
    <t>Cars</t>
  </si>
  <si>
    <t>Sales</t>
  </si>
  <si>
    <t>Altroz</t>
  </si>
  <si>
    <t>Creta</t>
  </si>
  <si>
    <t>XUV 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</si>
</sst>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6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Sheet8!$A$2</c:f>
              <c:strCache>
                <c:ptCount val="1"/>
                <c:pt idx="0">
                  <c:v>Altroz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Sheet8!$B$1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Sheet8!$B$2</c:f>
              <c:numCache>
                <c:formatCode>General</c:formatCode>
                <c:ptCount val="1"/>
                <c:pt idx="0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3-412D-A78F-FF8D6271C0F5}"/>
            </c:ext>
          </c:extLst>
        </c:ser>
        <c:ser>
          <c:idx val="1"/>
          <c:order val="1"/>
          <c:tx>
            <c:strRef>
              <c:f>Sheet8!$A$3</c:f>
              <c:strCache>
                <c:ptCount val="1"/>
                <c:pt idx="0">
                  <c:v>Creta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Sheet8!$B$1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Sheet8!$B$3</c:f>
              <c:numCache>
                <c:formatCode>General</c:formatCode>
                <c:ptCount val="1"/>
                <c:pt idx="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3-412D-A78F-FF8D6271C0F5}"/>
            </c:ext>
          </c:extLst>
        </c:ser>
        <c:ser>
          <c:idx val="2"/>
          <c:order val="2"/>
          <c:tx>
            <c:strRef>
              <c:f>Sheet8!$A$4</c:f>
              <c:strCache>
                <c:ptCount val="1"/>
                <c:pt idx="0">
                  <c:v>XUV 700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Sheet8!$B$1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Sheet8!$B$4</c:f>
              <c:numCache>
                <c:formatCode>General</c:formatCode>
                <c:ptCount val="1"/>
                <c:pt idx="0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03-412D-A78F-FF8D6271C0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1039088"/>
        <c:axId val="651026192"/>
      </c:barChart>
      <c:catAx>
        <c:axId val="65103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026192"/>
        <c:crosses val="autoZero"/>
        <c:auto val="1"/>
        <c:lblAlgn val="ctr"/>
        <c:lblOffset val="100"/>
        <c:noMultiLvlLbl val="0"/>
      </c:catAx>
      <c:valAx>
        <c:axId val="65102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03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Sheet8!$B$1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D704-4846-8F61-92D765D32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704-4846-8F61-92D765D320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D704-4846-8F61-92D765D320F7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D704-4846-8F61-92D765D320F7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D704-4846-8F61-92D765D320F7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D704-4846-8F61-92D765D320F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5B9BD5"/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Sheet8!$A$2:$A$4</c:f>
              <c:strCache>
                <c:ptCount val="3"/>
                <c:pt idx="0">
                  <c:v>Altroz</c:v>
                </c:pt>
                <c:pt idx="1">
                  <c:v>Creta</c:v>
                </c:pt>
                <c:pt idx="2">
                  <c:v>XUV 700</c:v>
                </c:pt>
              </c:strCache>
            </c:strRef>
          </c:cat>
          <c:val>
            <c:numRef>
              <c:f>Sheet8!$B$2:$B$4</c:f>
              <c:numCache>
                <c:formatCode>General</c:formatCode>
                <c:ptCount val="3"/>
                <c:pt idx="0">
                  <c:v>4000</c:v>
                </c:pt>
                <c:pt idx="1">
                  <c:v>3000</c:v>
                </c:pt>
                <c:pt idx="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4-4846-8F61-92D765D320F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>
          <a:glow rad="63500">
            <a:schemeClr val="accent2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200025</xdr:colOff>
      <xdr:row>0</xdr:row>
      <xdr:rowOff>185737</xdr:rowOff>
    </xdr:from>
    <xdr:to>
      <xdr:col>20</xdr:col>
      <xdr:colOff>504825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CF121-E6E3-4705-A3E3-897869982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381000</xdr:colOff>
      <xdr:row>0</xdr:row>
      <xdr:rowOff>176211</xdr:rowOff>
    </xdr:from>
    <xdr:to>
      <xdr:col>11</xdr:col>
      <xdr:colOff>428625</xdr:colOff>
      <xdr:row>18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E0E0AE-90DA-440B-8B3D-07C7C4924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75.929878703704" createdVersion="7" refreshedVersion="7" minRefreshableVersion="3" recordCount="10" xr:uid="{3D34512C-7811-4F8D-A50A-8D452EDB4FFC}">
  <cacheSource type="worksheet">
    <worksheetSource ref="A1:G11" sheet="Sheet1"/>
  </cacheSource>
  <cacheFields count="7">
    <cacheField name="Make" numFmtId="0">
      <sharedItems count="4">
        <s v="Honda"/>
        <s v="Toyota"/>
        <s v="Nisaan"/>
        <s v="Ford"/>
      </sharedItems>
    </cacheField>
    <cacheField name="Model" numFmtId="0">
      <sharedItems count="4">
        <s v="Accord"/>
        <s v="Camery"/>
        <s v="Altima"/>
        <s v="F-151"/>
      </sharedItems>
    </cacheField>
    <cacheField name="Color" numFmtId="0">
      <sharedItems count="6">
        <s v="Red"/>
        <s v="Blue"/>
        <s v="Green"/>
        <s v="Pink"/>
        <s v="Black"/>
        <s v="Yellow"/>
      </sharedItems>
    </cacheField>
    <cacheField name="Mileage" numFmtId="0">
      <sharedItems containsMixedTypes="1" containsNumber="1" containsInteger="1" minValue="55233" maxValue="95135"/>
    </cacheField>
    <cacheField name="Price" numFmtId="6">
      <sharedItems containsSemiMixedTypes="0" containsString="0" containsNumber="1" containsInteger="1" minValue="2300" maxValue="5400"/>
    </cacheField>
    <cacheField name="Cost" numFmtId="6">
      <sharedItems containsSemiMixedTypes="0" containsString="0" containsNumber="1" containsInteger="1" minValue="1900" maxValue="5000"/>
    </cacheField>
    <cacheField name="Profit" numFmtId="6">
      <sharedItems containsSemiMixedTypes="0" containsString="0" containsNumber="1" containsInteger="1" minValue="20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63512"/>
    <n v="4000"/>
    <n v="3200"/>
    <n v="800"/>
  </r>
  <r>
    <x v="0"/>
    <x v="0"/>
    <x v="1"/>
    <n v="95135"/>
    <n v="3000"/>
    <n v="2000"/>
    <n v="1000"/>
  </r>
  <r>
    <x v="0"/>
    <x v="0"/>
    <x v="2"/>
    <s v="1,01,354"/>
    <n v="2500"/>
    <n v="1900"/>
    <n v="600"/>
  </r>
  <r>
    <x v="1"/>
    <x v="1"/>
    <x v="3"/>
    <n v="75006"/>
    <n v="3200"/>
    <n v="3000"/>
    <n v="200"/>
  </r>
  <r>
    <x v="2"/>
    <x v="2"/>
    <x v="4"/>
    <n v="55233"/>
    <n v="2300"/>
    <n v="2000"/>
    <n v="300"/>
  </r>
  <r>
    <x v="3"/>
    <x v="3"/>
    <x v="1"/>
    <n v="89073"/>
    <n v="4300"/>
    <n v="4000"/>
    <n v="300"/>
  </r>
  <r>
    <x v="3"/>
    <x v="3"/>
    <x v="0"/>
    <s v="1,09,202"/>
    <n v="5400"/>
    <n v="5000"/>
    <n v="400"/>
  </r>
  <r>
    <x v="2"/>
    <x v="2"/>
    <x v="2"/>
    <s v="1,01,354"/>
    <n v="4200"/>
    <n v="4000"/>
    <n v="200"/>
  </r>
  <r>
    <x v="1"/>
    <x v="1"/>
    <x v="5"/>
    <n v="75006"/>
    <n v="3900"/>
    <n v="3000"/>
    <n v="900"/>
  </r>
  <r>
    <x v="1"/>
    <x v="1"/>
    <x v="3"/>
    <n v="89073"/>
    <n v="3200"/>
    <n v="3000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D7639-7D18-46F7-B1FC-B8B3806A0E9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9" firstHeaderRow="1" firstDataRow="2" firstDataCol="1" rowPageCount="1" colPageCount="1"/>
  <pivotFields count="7">
    <pivotField axis="axisPage" multipleItemSelectionAllowed="1" showAll="0">
      <items count="5">
        <item x="3"/>
        <item h="1" x="0"/>
        <item h="1" x="2"/>
        <item x="1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axis="axisRow" showAll="0">
      <items count="7">
        <item x="4"/>
        <item x="1"/>
        <item x="2"/>
        <item x="3"/>
        <item x="0"/>
        <item x="5"/>
        <item t="default"/>
      </items>
    </pivotField>
    <pivotField showAll="0"/>
    <pivotField numFmtId="6" showAll="0"/>
    <pivotField numFmtId="6" showAll="0"/>
    <pivotField dataField="1" numFmtId="6" showAll="0"/>
  </pivotFields>
  <rowFields count="1">
    <field x="2"/>
  </rowFields>
  <rowItems count="5">
    <i>
      <x v="1"/>
    </i>
    <i>
      <x v="3"/>
    </i>
    <i>
      <x v="4"/>
    </i>
    <i>
      <x v="5"/>
    </i>
    <i t="grand">
      <x/>
    </i>
  </rowItems>
  <colFields count="1">
    <field x="1"/>
  </colFields>
  <colItems count="3">
    <i>
      <x v="2"/>
    </i>
    <i>
      <x v="3"/>
    </i>
    <i t="grand">
      <x/>
    </i>
  </colItems>
  <pageFields count="1">
    <pageField fld="0" hier="-1"/>
  </pageField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BB462-6033-470E-80E3-C95D3B8CA8A5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7"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numFmtId="6" showAll="0"/>
    <pivotField dataField="1" numFmtId="6" showAll="0"/>
    <pivotField numFmtId="6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s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13538-F4DF-494F-9A6F-4B71C87D1F7F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11" firstHeaderRow="1" firstDataRow="2" firstDataCol="1"/>
  <pivotFields count="7">
    <pivotField axis="axisCol" showAll="0">
      <items count="5">
        <item x="3"/>
        <item x="0"/>
        <item x="2"/>
        <item x="1"/>
        <item t="default"/>
      </items>
    </pivotField>
    <pivotField dataField="1" showAll="0"/>
    <pivotField axis="axisRow" showAll="0">
      <items count="7">
        <item x="4"/>
        <item x="1"/>
        <item x="2"/>
        <item x="3"/>
        <item x="0"/>
        <item x="5"/>
        <item t="default"/>
      </items>
    </pivotField>
    <pivotField showAll="0"/>
    <pivotField numFmtId="6" showAll="0"/>
    <pivotField numFmtId="6" showAll="0"/>
    <pivotField numFmtId="6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Mode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6484F-DD88-43A8-82F9-56DEC5F6C72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7"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numFmtId="6" showAll="0"/>
    <pivotField numFmtId="6" showAll="0"/>
    <pivotField dataField="1" numFmtId="6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2BB4B-1BA8-45FA-A6A0-17AE66B222F1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H9" firstHeaderRow="1" firstDataRow="2" firstDataCol="1" rowPageCount="1" colPageCount="1"/>
  <pivotFields count="7">
    <pivotField axis="axisRow" showAll="0">
      <items count="5">
        <item x="3"/>
        <item x="0"/>
        <item x="2"/>
        <item x="1"/>
        <item t="default"/>
      </items>
    </pivotField>
    <pivotField axis="axisPage" showAll="0">
      <items count="5">
        <item x="0"/>
        <item x="2"/>
        <item x="1"/>
        <item x="3"/>
        <item t="default"/>
      </items>
    </pivotField>
    <pivotField axis="axisCol" showAll="0">
      <items count="7">
        <item x="4"/>
        <item x="1"/>
        <item x="2"/>
        <item x="3"/>
        <item x="0"/>
        <item x="5"/>
        <item t="default"/>
      </items>
    </pivotField>
    <pivotField showAll="0"/>
    <pivotField dataField="1" numFmtId="6" showAll="0"/>
    <pivotField numFmtId="6" showAll="0"/>
    <pivotField numFmtId="6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-1"/>
  </pageFields>
  <dataFields count="1">
    <dataField name="Sum of Pric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0B29A-FAAC-4B45-8856-0233C0C9BA0F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8" firstHeaderRow="1" firstDataRow="2" firstDataCol="1" rowPageCount="1" colPageCount="1"/>
  <pivotFields count="7">
    <pivotField axis="axisCol" showAll="0">
      <items count="5">
        <item x="3"/>
        <item x="0"/>
        <item x="2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axis="axisPage" multipleItemSelectionAllowed="1" showAll="0">
      <items count="7">
        <item h="1" x="4"/>
        <item x="1"/>
        <item h="1" x="2"/>
        <item x="3"/>
        <item h="1" x="0"/>
        <item h="1" x="5"/>
        <item t="default"/>
      </items>
    </pivotField>
    <pivotField dataField="1" showAll="0"/>
    <pivotField numFmtId="6" showAll="0"/>
    <pivotField numFmtId="6" showAll="0"/>
    <pivotField numFmtId="6" showAll="0"/>
  </pivotFields>
  <rowFields count="1">
    <field x="1"/>
  </rowFields>
  <rowItems count="4">
    <i>
      <x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3"/>
    </i>
    <i t="grand">
      <x/>
    </i>
  </colItems>
  <pageFields count="1">
    <pageField fld="2" hier="-1"/>
  </pageFields>
  <dataFields count="1">
    <dataField name="Average of Mileage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CD77-F0F4-4D0F-A236-EB191E3DD72E}">
  <dimension ref="A1:D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7.85546875" bestFit="1" customWidth="1"/>
    <col min="3" max="3" width="5.7109375" bestFit="1" customWidth="1"/>
    <col min="4" max="4" width="11.28515625" bestFit="1" customWidth="1"/>
    <col min="5" max="5" width="5.7109375" bestFit="1" customWidth="1"/>
    <col min="6" max="6" width="11.28515625" bestFit="1" customWidth="1"/>
  </cols>
  <sheetData>
    <row r="1" spans="1:4" x14ac:dyDescent="0.25">
      <c r="A1" s="4" t="s">
        <v>0</v>
      </c>
      <c r="B1" t="s">
        <v>27</v>
      </c>
    </row>
    <row r="3" spans="1:4" x14ac:dyDescent="0.25">
      <c r="A3" s="4" t="s">
        <v>26</v>
      </c>
      <c r="B3" s="4" t="s">
        <v>24</v>
      </c>
    </row>
    <row r="4" spans="1:4" x14ac:dyDescent="0.25">
      <c r="A4" s="4" t="s">
        <v>22</v>
      </c>
      <c r="B4" t="s">
        <v>13</v>
      </c>
      <c r="C4" t="s">
        <v>15</v>
      </c>
      <c r="D4" t="s">
        <v>23</v>
      </c>
    </row>
    <row r="5" spans="1:4" x14ac:dyDescent="0.25">
      <c r="A5" s="5" t="s">
        <v>9</v>
      </c>
      <c r="B5" s="6"/>
      <c r="C5" s="6">
        <v>300</v>
      </c>
      <c r="D5" s="6">
        <v>300</v>
      </c>
    </row>
    <row r="6" spans="1:4" x14ac:dyDescent="0.25">
      <c r="A6" s="5" t="s">
        <v>11</v>
      </c>
      <c r="B6" s="6">
        <v>400</v>
      </c>
      <c r="C6" s="6"/>
      <c r="D6" s="6">
        <v>400</v>
      </c>
    </row>
    <row r="7" spans="1:4" x14ac:dyDescent="0.25">
      <c r="A7" s="5" t="s">
        <v>8</v>
      </c>
      <c r="B7" s="6"/>
      <c r="C7" s="6">
        <v>400</v>
      </c>
      <c r="D7" s="6">
        <v>400</v>
      </c>
    </row>
    <row r="8" spans="1:4" x14ac:dyDescent="0.25">
      <c r="A8" s="5" t="s">
        <v>19</v>
      </c>
      <c r="B8" s="6">
        <v>900</v>
      </c>
      <c r="C8" s="6"/>
      <c r="D8" s="6">
        <v>900</v>
      </c>
    </row>
    <row r="9" spans="1:4" x14ac:dyDescent="0.25">
      <c r="A9" s="5" t="s">
        <v>23</v>
      </c>
      <c r="B9" s="6">
        <v>1300</v>
      </c>
      <c r="C9" s="6">
        <v>700</v>
      </c>
      <c r="D9" s="6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C144-C61E-451B-BFD7-1B6740386CA7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1.42578125" bestFit="1" customWidth="1"/>
  </cols>
  <sheetData>
    <row r="3" spans="1:2" x14ac:dyDescent="0.25">
      <c r="A3" s="4" t="s">
        <v>22</v>
      </c>
      <c r="B3" t="s">
        <v>28</v>
      </c>
    </row>
    <row r="4" spans="1:2" x14ac:dyDescent="0.25">
      <c r="A4" s="5" t="s">
        <v>7</v>
      </c>
      <c r="B4" s="6">
        <v>7100</v>
      </c>
    </row>
    <row r="5" spans="1:2" x14ac:dyDescent="0.25">
      <c r="A5" s="5" t="s">
        <v>14</v>
      </c>
      <c r="B5" s="6">
        <v>6000</v>
      </c>
    </row>
    <row r="6" spans="1:2" x14ac:dyDescent="0.25">
      <c r="A6" s="5" t="s">
        <v>13</v>
      </c>
      <c r="B6" s="6">
        <v>9000</v>
      </c>
    </row>
    <row r="7" spans="1:2" x14ac:dyDescent="0.25">
      <c r="A7" s="5" t="s">
        <v>15</v>
      </c>
      <c r="B7" s="6">
        <v>9000</v>
      </c>
    </row>
    <row r="8" spans="1:2" x14ac:dyDescent="0.25">
      <c r="A8" s="5" t="s">
        <v>23</v>
      </c>
      <c r="B8" s="6">
        <v>31100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8E4D0-6492-4B3D-84CC-5F9918A31E84}">
  <dimension ref="A3:F11"/>
  <sheetViews>
    <sheetView workbookViewId="0">
      <selection activeCell="A3" sqref="A3"/>
    </sheetView>
  </sheetViews>
  <sheetFormatPr defaultRowHeight="15" x14ac:dyDescent="0.25"/>
  <cols>
    <col min="1" max="1" width="15" bestFit="1" customWidth="1"/>
    <col min="2" max="2" width="16.28515625" bestFit="1" customWidth="1"/>
    <col min="3" max="3" width="6.7109375" bestFit="1" customWidth="1"/>
    <col min="4" max="5" width="7" bestFit="1" customWidth="1"/>
    <col min="6" max="6" width="11.28515625" bestFit="1" customWidth="1"/>
  </cols>
  <sheetData>
    <row r="3" spans="1:6" x14ac:dyDescent="0.25">
      <c r="A3" s="4" t="s">
        <v>29</v>
      </c>
      <c r="B3" s="4" t="s">
        <v>24</v>
      </c>
    </row>
    <row r="4" spans="1:6" x14ac:dyDescent="0.25">
      <c r="A4" s="4" t="s">
        <v>22</v>
      </c>
      <c r="B4" t="s">
        <v>17</v>
      </c>
      <c r="C4" t="s">
        <v>6</v>
      </c>
      <c r="D4" t="s">
        <v>16</v>
      </c>
      <c r="E4" t="s">
        <v>18</v>
      </c>
      <c r="F4" t="s">
        <v>23</v>
      </c>
    </row>
    <row r="5" spans="1:6" x14ac:dyDescent="0.25">
      <c r="A5" s="5" t="s">
        <v>12</v>
      </c>
      <c r="B5" s="6"/>
      <c r="C5" s="6"/>
      <c r="D5" s="6">
        <v>1</v>
      </c>
      <c r="E5" s="6"/>
      <c r="F5" s="6">
        <v>1</v>
      </c>
    </row>
    <row r="6" spans="1:6" x14ac:dyDescent="0.25">
      <c r="A6" s="5" t="s">
        <v>9</v>
      </c>
      <c r="B6" s="6">
        <v>1</v>
      </c>
      <c r="C6" s="6">
        <v>1</v>
      </c>
      <c r="D6" s="6"/>
      <c r="E6" s="6"/>
      <c r="F6" s="6">
        <v>2</v>
      </c>
    </row>
    <row r="7" spans="1:6" x14ac:dyDescent="0.25">
      <c r="A7" s="5" t="s">
        <v>10</v>
      </c>
      <c r="B7" s="6"/>
      <c r="C7" s="6">
        <v>1</v>
      </c>
      <c r="D7" s="6">
        <v>1</v>
      </c>
      <c r="E7" s="6"/>
      <c r="F7" s="6">
        <v>2</v>
      </c>
    </row>
    <row r="8" spans="1:6" x14ac:dyDescent="0.25">
      <c r="A8" s="5" t="s">
        <v>11</v>
      </c>
      <c r="B8" s="6"/>
      <c r="C8" s="6"/>
      <c r="D8" s="6"/>
      <c r="E8" s="6">
        <v>2</v>
      </c>
      <c r="F8" s="6">
        <v>2</v>
      </c>
    </row>
    <row r="9" spans="1:6" x14ac:dyDescent="0.25">
      <c r="A9" s="5" t="s">
        <v>8</v>
      </c>
      <c r="B9" s="6">
        <v>1</v>
      </c>
      <c r="C9" s="6">
        <v>1</v>
      </c>
      <c r="D9" s="6"/>
      <c r="E9" s="6"/>
      <c r="F9" s="6">
        <v>2</v>
      </c>
    </row>
    <row r="10" spans="1:6" x14ac:dyDescent="0.25">
      <c r="A10" s="5" t="s">
        <v>19</v>
      </c>
      <c r="B10" s="6"/>
      <c r="C10" s="6"/>
      <c r="D10" s="6"/>
      <c r="E10" s="6">
        <v>1</v>
      </c>
      <c r="F10" s="6">
        <v>1</v>
      </c>
    </row>
    <row r="11" spans="1:6" x14ac:dyDescent="0.25">
      <c r="A11" s="5" t="s">
        <v>23</v>
      </c>
      <c r="B11" s="6">
        <v>2</v>
      </c>
      <c r="C11" s="6">
        <v>3</v>
      </c>
      <c r="D11" s="6">
        <v>2</v>
      </c>
      <c r="E11" s="6">
        <v>3</v>
      </c>
      <c r="F11" s="6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88E6-C303-4449-8177-6B39E94B6339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4" t="s">
        <v>22</v>
      </c>
      <c r="B3" t="s">
        <v>26</v>
      </c>
    </row>
    <row r="4" spans="1:2" x14ac:dyDescent="0.25">
      <c r="A4" s="5" t="s">
        <v>17</v>
      </c>
      <c r="B4" s="6">
        <v>700</v>
      </c>
    </row>
    <row r="5" spans="1:2" x14ac:dyDescent="0.25">
      <c r="A5" s="5" t="s">
        <v>6</v>
      </c>
      <c r="B5" s="6">
        <v>2400</v>
      </c>
    </row>
    <row r="6" spans="1:2" x14ac:dyDescent="0.25">
      <c r="A6" s="5" t="s">
        <v>16</v>
      </c>
      <c r="B6" s="6">
        <v>500</v>
      </c>
    </row>
    <row r="7" spans="1:2" x14ac:dyDescent="0.25">
      <c r="A7" s="5" t="s">
        <v>18</v>
      </c>
      <c r="B7" s="6">
        <v>1300</v>
      </c>
    </row>
    <row r="8" spans="1:2" x14ac:dyDescent="0.25">
      <c r="A8" s="5" t="s">
        <v>23</v>
      </c>
      <c r="B8" s="6">
        <v>4900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021F-CBCA-4D56-8BDE-DD40586B62DA}">
  <dimension ref="A1:H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5" bestFit="1" customWidth="1"/>
    <col min="4" max="4" width="6.5703125" bestFit="1" customWidth="1"/>
    <col min="5" max="6" width="5" bestFit="1" customWidth="1"/>
    <col min="7" max="7" width="7.140625" bestFit="1" customWidth="1"/>
    <col min="8" max="8" width="11.28515625" bestFit="1" customWidth="1"/>
  </cols>
  <sheetData>
    <row r="1" spans="1:8" x14ac:dyDescent="0.25">
      <c r="A1" s="4" t="s">
        <v>1</v>
      </c>
      <c r="B1" t="s">
        <v>31</v>
      </c>
    </row>
    <row r="3" spans="1:8" x14ac:dyDescent="0.25">
      <c r="A3" s="4" t="s">
        <v>30</v>
      </c>
      <c r="B3" s="4" t="s">
        <v>24</v>
      </c>
    </row>
    <row r="4" spans="1:8" x14ac:dyDescent="0.25">
      <c r="A4" s="4" t="s">
        <v>22</v>
      </c>
      <c r="B4" t="s">
        <v>12</v>
      </c>
      <c r="C4" t="s">
        <v>9</v>
      </c>
      <c r="D4" t="s">
        <v>10</v>
      </c>
      <c r="E4" t="s">
        <v>11</v>
      </c>
      <c r="F4" t="s">
        <v>8</v>
      </c>
      <c r="G4" t="s">
        <v>19</v>
      </c>
      <c r="H4" t="s">
        <v>23</v>
      </c>
    </row>
    <row r="5" spans="1:8" x14ac:dyDescent="0.25">
      <c r="A5" s="5" t="s">
        <v>17</v>
      </c>
      <c r="B5" s="6"/>
      <c r="C5" s="6">
        <v>4300</v>
      </c>
      <c r="D5" s="6"/>
      <c r="E5" s="6"/>
      <c r="F5" s="6">
        <v>5400</v>
      </c>
      <c r="G5" s="6"/>
      <c r="H5" s="6">
        <v>9700</v>
      </c>
    </row>
    <row r="6" spans="1:8" x14ac:dyDescent="0.25">
      <c r="A6" s="5" t="s">
        <v>6</v>
      </c>
      <c r="B6" s="6"/>
      <c r="C6" s="6">
        <v>3000</v>
      </c>
      <c r="D6" s="6">
        <v>2500</v>
      </c>
      <c r="E6" s="6"/>
      <c r="F6" s="6">
        <v>4000</v>
      </c>
      <c r="G6" s="6"/>
      <c r="H6" s="6">
        <v>9500</v>
      </c>
    </row>
    <row r="7" spans="1:8" x14ac:dyDescent="0.25">
      <c r="A7" s="5" t="s">
        <v>16</v>
      </c>
      <c r="B7" s="6">
        <v>2300</v>
      </c>
      <c r="C7" s="6"/>
      <c r="D7" s="6">
        <v>4200</v>
      </c>
      <c r="E7" s="6"/>
      <c r="F7" s="6"/>
      <c r="G7" s="6"/>
      <c r="H7" s="6">
        <v>6500</v>
      </c>
    </row>
    <row r="8" spans="1:8" x14ac:dyDescent="0.25">
      <c r="A8" s="5" t="s">
        <v>18</v>
      </c>
      <c r="B8" s="6"/>
      <c r="C8" s="6"/>
      <c r="D8" s="6"/>
      <c r="E8" s="6">
        <v>6400</v>
      </c>
      <c r="F8" s="6"/>
      <c r="G8" s="6">
        <v>3900</v>
      </c>
      <c r="H8" s="6">
        <v>10300</v>
      </c>
    </row>
    <row r="9" spans="1:8" x14ac:dyDescent="0.25">
      <c r="A9" s="5" t="s">
        <v>23</v>
      </c>
      <c r="B9" s="6">
        <v>2300</v>
      </c>
      <c r="C9" s="6">
        <v>7300</v>
      </c>
      <c r="D9" s="6">
        <v>6700</v>
      </c>
      <c r="E9" s="6">
        <v>6400</v>
      </c>
      <c r="F9" s="6">
        <v>9400</v>
      </c>
      <c r="G9" s="6">
        <v>3900</v>
      </c>
      <c r="H9" s="6">
        <v>36000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67DA-9C77-43F9-B718-A05F8A10D7A0}">
  <dimension ref="A1:E8"/>
  <sheetViews>
    <sheetView workbookViewId="0">
      <selection activeCell="A3" sqref="A3"/>
    </sheetView>
  </sheetViews>
  <sheetFormatPr defaultRowHeight="15" x14ac:dyDescent="0.25"/>
  <cols>
    <col min="1" max="1" width="18.5703125" bestFit="1" customWidth="1"/>
    <col min="2" max="2" width="17.85546875" bestFit="1" customWidth="1"/>
    <col min="3" max="3" width="6.7109375" bestFit="1" customWidth="1"/>
    <col min="4" max="4" width="8" bestFit="1" customWidth="1"/>
    <col min="5" max="6" width="11.28515625" bestFit="1" customWidth="1"/>
  </cols>
  <sheetData>
    <row r="1" spans="1:5" x14ac:dyDescent="0.25">
      <c r="A1" s="4" t="s">
        <v>2</v>
      </c>
      <c r="B1" t="s">
        <v>27</v>
      </c>
    </row>
    <row r="3" spans="1:5" x14ac:dyDescent="0.25">
      <c r="A3" s="4" t="s">
        <v>32</v>
      </c>
      <c r="B3" s="4" t="s">
        <v>24</v>
      </c>
    </row>
    <row r="4" spans="1:5" x14ac:dyDescent="0.25">
      <c r="A4" s="4" t="s">
        <v>22</v>
      </c>
      <c r="B4" t="s">
        <v>17</v>
      </c>
      <c r="C4" t="s">
        <v>6</v>
      </c>
      <c r="D4" t="s">
        <v>18</v>
      </c>
      <c r="E4" t="s">
        <v>23</v>
      </c>
    </row>
    <row r="5" spans="1:5" x14ac:dyDescent="0.25">
      <c r="A5" s="5" t="s">
        <v>7</v>
      </c>
      <c r="B5" s="6"/>
      <c r="C5" s="6">
        <v>95135</v>
      </c>
      <c r="D5" s="6"/>
      <c r="E5" s="6">
        <v>95135</v>
      </c>
    </row>
    <row r="6" spans="1:5" x14ac:dyDescent="0.25">
      <c r="A6" s="5" t="s">
        <v>13</v>
      </c>
      <c r="B6" s="6"/>
      <c r="C6" s="6"/>
      <c r="D6" s="6">
        <v>82039.5</v>
      </c>
      <c r="E6" s="6">
        <v>82039.5</v>
      </c>
    </row>
    <row r="7" spans="1:5" x14ac:dyDescent="0.25">
      <c r="A7" s="5" t="s">
        <v>15</v>
      </c>
      <c r="B7" s="6">
        <v>89073</v>
      </c>
      <c r="C7" s="6"/>
      <c r="D7" s="6"/>
      <c r="E7" s="6">
        <v>89073</v>
      </c>
    </row>
    <row r="8" spans="1:5" x14ac:dyDescent="0.25">
      <c r="A8" s="5" t="s">
        <v>23</v>
      </c>
      <c r="B8" s="6">
        <v>89073</v>
      </c>
      <c r="C8" s="6">
        <v>95135</v>
      </c>
      <c r="D8" s="6">
        <v>82039.5</v>
      </c>
      <c r="E8" s="6">
        <v>87071.75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opLeftCell="A2" zoomScale="146" workbookViewId="0">
      <selection activeCell="G11" sqref="A1:G11"/>
    </sheetView>
  </sheetViews>
  <sheetFormatPr defaultRowHeight="15" x14ac:dyDescent="0.25"/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25</v>
      </c>
    </row>
    <row r="2" spans="1:7" x14ac:dyDescent="0.25">
      <c r="A2" t="s">
        <v>6</v>
      </c>
      <c r="B2" t="s">
        <v>7</v>
      </c>
      <c r="C2" t="s">
        <v>8</v>
      </c>
      <c r="D2" s="1">
        <v>63512</v>
      </c>
      <c r="E2" s="2">
        <v>4000</v>
      </c>
      <c r="F2" s="2">
        <v>3200</v>
      </c>
      <c r="G2" s="2">
        <f>E2-F2</f>
        <v>800</v>
      </c>
    </row>
    <row r="3" spans="1:7" x14ac:dyDescent="0.25">
      <c r="A3" t="s">
        <v>6</v>
      </c>
      <c r="B3" t="s">
        <v>7</v>
      </c>
      <c r="C3" t="s">
        <v>9</v>
      </c>
      <c r="D3" s="1">
        <v>95135</v>
      </c>
      <c r="E3" s="2">
        <v>3000</v>
      </c>
      <c r="F3" s="2">
        <v>2000</v>
      </c>
      <c r="G3" s="2">
        <f t="shared" ref="G3:G11" si="0">E3-F3</f>
        <v>1000</v>
      </c>
    </row>
    <row r="4" spans="1:7" x14ac:dyDescent="0.25">
      <c r="A4" t="s">
        <v>6</v>
      </c>
      <c r="B4" t="s">
        <v>7</v>
      </c>
      <c r="C4" t="s">
        <v>10</v>
      </c>
      <c r="D4" t="s">
        <v>20</v>
      </c>
      <c r="E4" s="2">
        <v>2500</v>
      </c>
      <c r="F4" s="2">
        <v>1900</v>
      </c>
      <c r="G4" s="2">
        <f t="shared" si="0"/>
        <v>600</v>
      </c>
    </row>
    <row r="5" spans="1:7" x14ac:dyDescent="0.25">
      <c r="A5" t="s">
        <v>18</v>
      </c>
      <c r="B5" t="s">
        <v>13</v>
      </c>
      <c r="C5" t="s">
        <v>11</v>
      </c>
      <c r="D5" s="1">
        <v>75006</v>
      </c>
      <c r="E5" s="2">
        <v>3200</v>
      </c>
      <c r="F5" s="2">
        <v>3000</v>
      </c>
      <c r="G5" s="2">
        <f t="shared" si="0"/>
        <v>200</v>
      </c>
    </row>
    <row r="6" spans="1:7" x14ac:dyDescent="0.25">
      <c r="A6" t="s">
        <v>16</v>
      </c>
      <c r="B6" t="s">
        <v>14</v>
      </c>
      <c r="C6" t="s">
        <v>12</v>
      </c>
      <c r="D6" s="1">
        <v>55233</v>
      </c>
      <c r="E6" s="2">
        <v>2300</v>
      </c>
      <c r="F6" s="2">
        <v>2000</v>
      </c>
      <c r="G6" s="2">
        <f t="shared" si="0"/>
        <v>300</v>
      </c>
    </row>
    <row r="7" spans="1:7" x14ac:dyDescent="0.25">
      <c r="A7" t="s">
        <v>17</v>
      </c>
      <c r="B7" t="s">
        <v>15</v>
      </c>
      <c r="C7" t="s">
        <v>9</v>
      </c>
      <c r="D7" s="1">
        <v>89073</v>
      </c>
      <c r="E7" s="2">
        <v>4300</v>
      </c>
      <c r="F7" s="2">
        <v>4000</v>
      </c>
      <c r="G7" s="2">
        <f t="shared" si="0"/>
        <v>300</v>
      </c>
    </row>
    <row r="8" spans="1:7" x14ac:dyDescent="0.25">
      <c r="A8" t="s">
        <v>17</v>
      </c>
      <c r="B8" t="s">
        <v>15</v>
      </c>
      <c r="C8" t="s">
        <v>8</v>
      </c>
      <c r="D8" t="s">
        <v>21</v>
      </c>
      <c r="E8" s="2">
        <v>5400</v>
      </c>
      <c r="F8" s="2">
        <v>5000</v>
      </c>
      <c r="G8" s="2">
        <f t="shared" si="0"/>
        <v>400</v>
      </c>
    </row>
    <row r="9" spans="1:7" x14ac:dyDescent="0.25">
      <c r="A9" t="s">
        <v>16</v>
      </c>
      <c r="B9" t="s">
        <v>14</v>
      </c>
      <c r="C9" t="s">
        <v>10</v>
      </c>
      <c r="D9" t="s">
        <v>20</v>
      </c>
      <c r="E9" s="2">
        <v>4200</v>
      </c>
      <c r="F9" s="2">
        <v>4000</v>
      </c>
      <c r="G9" s="2">
        <f t="shared" si="0"/>
        <v>200</v>
      </c>
    </row>
    <row r="10" spans="1:7" x14ac:dyDescent="0.25">
      <c r="A10" t="s">
        <v>18</v>
      </c>
      <c r="B10" t="s">
        <v>13</v>
      </c>
      <c r="C10" t="s">
        <v>19</v>
      </c>
      <c r="D10" s="1">
        <v>75006</v>
      </c>
      <c r="E10" s="2">
        <v>3900</v>
      </c>
      <c r="F10" s="2">
        <v>3000</v>
      </c>
      <c r="G10" s="2">
        <f t="shared" si="0"/>
        <v>900</v>
      </c>
    </row>
    <row r="11" spans="1:7" x14ac:dyDescent="0.25">
      <c r="A11" t="s">
        <v>18</v>
      </c>
      <c r="B11" t="s">
        <v>13</v>
      </c>
      <c r="C11" t="s">
        <v>11</v>
      </c>
      <c r="D11" s="1">
        <v>89073</v>
      </c>
      <c r="E11" s="2">
        <v>3200</v>
      </c>
      <c r="F11" s="2">
        <v>3000</v>
      </c>
      <c r="G11" s="2">
        <f t="shared" si="0"/>
        <v>200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4DD1-FB74-4796-9EFD-D08A8011AB8F}">
  <dimension ref="A1:B4"/>
  <sheetViews>
    <sheetView tabSelected="1" workbookViewId="0">
      <selection activeCell="O23" sqref="O23"/>
    </sheetView>
  </sheetViews>
  <sheetFormatPr defaultRowHeight="15" x14ac:dyDescent="0.25"/>
  <sheetData>
    <row r="1" spans="1:2" x14ac:dyDescent="0.25">
      <c r="A1" s="3" t="s">
        <v>33</v>
      </c>
      <c r="B1" s="3" t="s">
        <v>34</v>
      </c>
    </row>
    <row r="2" spans="1:2" x14ac:dyDescent="0.25">
      <c r="A2" t="s">
        <v>35</v>
      </c>
      <c r="B2">
        <v>4000</v>
      </c>
    </row>
    <row r="3" spans="1:2" x14ac:dyDescent="0.25">
      <c r="A3" t="s">
        <v>36</v>
      </c>
      <c r="B3">
        <v>3000</v>
      </c>
    </row>
    <row r="4" spans="1:2" x14ac:dyDescent="0.25">
      <c r="A4" t="s">
        <v>37</v>
      </c>
      <c r="B4">
        <v>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Sheet2</vt:lpstr>
      <vt:lpstr>Sheet4</vt:lpstr>
      <vt:lpstr>Sheet5</vt:lpstr>
      <vt:lpstr>Sheet6</vt:lpstr>
      <vt:lpstr>Sheet7</vt:lpstr>
      <vt:lpstr>Sheet1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</dc:creator>
  <cp:lastModifiedBy>Saurabh Sharma</cp:lastModifiedBy>
  <dcterms:created xsi:type="dcterms:W3CDTF">2015-06-05T18:17:20Z</dcterms:created>
  <dcterms:modified xsi:type="dcterms:W3CDTF">2025-08-21T02:38:10Z</dcterms:modified>
</cp:coreProperties>
</file>